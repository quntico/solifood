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39acce50ee8bec88/Desktop/"/>
    </mc:Choice>
  </mc:AlternateContent>
  <xr:revisionPtr revIDLastSave="33" documentId="8_{3E542AC0-F93D-424A-B086-7D272BD508F3}" xr6:coauthVersionLast="47" xr6:coauthVersionMax="47" xr10:uidLastSave="{2506F9F7-E885-41AE-8312-1AE1378E8850}"/>
  <bookViews>
    <workbookView minimized="1" xWindow="3720" yWindow="2169" windowWidth="16457" windowHeight="9454" xr2:uid="{00000000-000D-0000-FFFF-FFFF00000000}"/>
  </bookViews>
  <sheets>
    <sheet name="CDA2000 (ES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H36" i="1"/>
  <c r="G31" i="1"/>
  <c r="G32" i="1"/>
  <c r="G33" i="1"/>
  <c r="G34" i="1"/>
  <c r="G35" i="1"/>
  <c r="H35" i="1"/>
  <c r="H32" i="1"/>
  <c r="H33" i="1"/>
  <c r="H31" i="1"/>
  <c r="H29" i="1"/>
  <c r="G29" i="1" s="1"/>
  <c r="H28" i="1"/>
  <c r="G28" i="1" s="1"/>
  <c r="H30" i="1"/>
  <c r="G30" i="1" s="1"/>
  <c r="H2" i="1"/>
  <c r="G2" i="1" s="1"/>
  <c r="H3" i="1"/>
  <c r="G3" i="1" s="1"/>
  <c r="H4" i="1"/>
  <c r="G4" i="1" s="1"/>
  <c r="H24" i="1"/>
  <c r="G24" i="1" s="1"/>
  <c r="H25" i="1"/>
  <c r="G25" i="1" s="1"/>
  <c r="H5" i="1"/>
  <c r="G5" i="1" s="1"/>
  <c r="H6" i="1"/>
  <c r="G6" i="1" s="1"/>
  <c r="H19" i="1"/>
  <c r="G19" i="1" s="1"/>
  <c r="H34" i="1"/>
  <c r="H22" i="1"/>
  <c r="G22" i="1" s="1"/>
  <c r="E38" i="1"/>
  <c r="H27" i="1"/>
  <c r="G27" i="1" s="1"/>
  <c r="H26" i="1"/>
  <c r="G26" i="1" s="1"/>
  <c r="H7" i="1"/>
  <c r="G7" i="1" s="1"/>
  <c r="H9" i="1"/>
  <c r="G9" i="1" s="1"/>
  <c r="H10" i="1"/>
  <c r="G10" i="1" s="1"/>
  <c r="H11" i="1"/>
  <c r="G11" i="1" s="1"/>
  <c r="H12" i="1"/>
  <c r="G12" i="1" s="1"/>
  <c r="H13" i="1"/>
  <c r="G13" i="1" s="1"/>
  <c r="H14" i="1"/>
  <c r="G14" i="1" s="1"/>
  <c r="H15" i="1"/>
  <c r="G15" i="1" s="1"/>
  <c r="H16" i="1"/>
  <c r="G16" i="1" s="1"/>
  <c r="H17" i="1"/>
  <c r="G17" i="1" s="1"/>
  <c r="H18" i="1"/>
  <c r="G18" i="1" s="1"/>
  <c r="H20" i="1"/>
  <c r="G20" i="1" s="1"/>
  <c r="H21" i="1"/>
  <c r="G21" i="1" s="1"/>
  <c r="H23" i="1"/>
  <c r="G23" i="1" s="1"/>
  <c r="H8" i="1"/>
  <c r="G8" i="1" s="1"/>
  <c r="H38" i="1" l="1"/>
  <c r="F40" i="1" s="1"/>
  <c r="F41" i="1" s="1"/>
  <c r="F42" i="1" s="1"/>
</calcChain>
</file>

<file path=xl/sharedStrings.xml><?xml version="1.0" encoding="utf-8"?>
<sst xmlns="http://schemas.openxmlformats.org/spreadsheetml/2006/main" count="82" uniqueCount="51">
  <si>
    <t>NUM.</t>
  </si>
  <si>
    <t>QTY</t>
  </si>
  <si>
    <t>NOMBRE (ES)</t>
  </si>
  <si>
    <t>COSTO (USD)</t>
  </si>
  <si>
    <t>PRECIO (USD)</t>
  </si>
  <si>
    <t>Chiller de agua 5 HP (para el molino)</t>
  </si>
  <si>
    <t>Sistema de alimentación de chocolate (tanque 500 kg + bomba + control)</t>
  </si>
  <si>
    <t>Moldes 275×175×30 mm (200 pcs) (incluye costo total)</t>
  </si>
  <si>
    <t>TOTAL</t>
  </si>
  <si>
    <t>UTILIDAD</t>
  </si>
  <si>
    <t>Línea de grano a Polvo LCH 500</t>
  </si>
  <si>
    <t>Empaquetadora papel encerado Hexagonal</t>
  </si>
  <si>
    <t>Ingenieria y desarrollo SOLIFOOD</t>
  </si>
  <si>
    <t>ENTRE 2</t>
  </si>
  <si>
    <t>PESOS</t>
  </si>
  <si>
    <t>Tolvas y silos de almacenamiento</t>
  </si>
  <si>
    <t>Mezclador / pre-refinador de chocolate</t>
  </si>
  <si>
    <t>Encajadora automática</t>
  </si>
  <si>
    <t>Cerradora / pegadora de cajas</t>
  </si>
  <si>
    <t>Sistema de codificado y verificación</t>
  </si>
  <si>
    <t>Agrupadora y encajadora</t>
  </si>
  <si>
    <t>Módulo de inspección y rechazo</t>
  </si>
  <si>
    <t>Transportadores y mesas de acumulación</t>
  </si>
  <si>
    <t>UNITARIO</t>
  </si>
  <si>
    <t xml:space="preserve">Encajadora hexagonal </t>
  </si>
  <si>
    <t>Línea de empaquetado de polvos PKW-130</t>
  </si>
  <si>
    <t>Compresora de tornillo 50 HP</t>
  </si>
  <si>
    <t>Paletizadora /Estación de Entarimado</t>
  </si>
  <si>
    <t>Utilidades y servicios auxiliares</t>
  </si>
  <si>
    <t>Transporte Manzanillo- Comacalco</t>
  </si>
  <si>
    <t>Arco magnético de spectro</t>
  </si>
  <si>
    <t>PRINCIPAL</t>
  </si>
  <si>
    <t>Derretidor de grasa  1000 L con sistema de pesaje + bomba</t>
  </si>
  <si>
    <t>Cargador de polvo) para azúcar en polvo y cocoa en polvo</t>
  </si>
  <si>
    <t>BARRITA/TABLETA</t>
  </si>
  <si>
    <t xml:space="preserve">BARRITA  </t>
  </si>
  <si>
    <t>TABLETA</t>
  </si>
  <si>
    <t>POLVO</t>
  </si>
  <si>
    <t>PRODUCTO</t>
  </si>
  <si>
    <t xml:space="preserve">Sistema de pesaje y dosificación </t>
  </si>
  <si>
    <t>Templadora ) 100 kg por lote</t>
  </si>
  <si>
    <t xml:space="preserve">Depositadora mini one-shot </t>
  </si>
  <si>
    <t xml:space="preserve">Cargador de moldes y calentador </t>
  </si>
  <si>
    <t xml:space="preserve">Túnel de enfriamiento vertical </t>
  </si>
  <si>
    <t>Costo de herramental ) para personalizado</t>
  </si>
  <si>
    <t>Envolvedora de foil / papel metalizado</t>
  </si>
  <si>
    <t>Vibrador  para eliminar burbujas</t>
  </si>
  <si>
    <t>Molino de bolas 300 kg por lote</t>
  </si>
  <si>
    <t xml:space="preserve">Desmoldador </t>
  </si>
  <si>
    <t>Instalación, Honorarios Ténico, viaticos 2 semanas</t>
  </si>
  <si>
    <t>FIN DE LINEA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</si>
</sst>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</font>
    <font>
      <b/>
      <sz val="9"/>
      <name val="Calibr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/>
      <diagonal/>
    </border>
  </borders>
  <cellStyleXfs count="3">
    <xf numFmtId="0" fontId="0" fillId="0" borderId="0"/>
    <xf numFmtId="4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9" fontId="2" fillId="2" borderId="1" xfId="2" applyFont="1" applyFill="1" applyBorder="1" applyAlignment="1">
      <alignment horizontal="center" vertical="center" wrapText="1"/>
    </xf>
    <xf numFmtId="9" fontId="0" fillId="0" borderId="1" xfId="2" applyFont="1" applyBorder="1" applyAlignment="1">
      <alignment horizontal="center" vertical="top" wrapText="1"/>
    </xf>
    <xf numFmtId="9" fontId="0" fillId="0" borderId="0" xfId="2" applyFont="1" applyAlignment="1">
      <alignment horizontal="center"/>
    </xf>
    <xf numFmtId="44" fontId="2" fillId="2" borderId="1" xfId="1" applyFont="1" applyFill="1" applyBorder="1" applyAlignment="1">
      <alignment horizontal="center" vertical="center" wrapText="1"/>
    </xf>
    <xf numFmtId="44" fontId="0" fillId="0" borderId="0" xfId="1" applyFont="1"/>
    <xf numFmtId="44" fontId="0" fillId="0" borderId="1" xfId="1" applyFont="1" applyBorder="1" applyAlignment="1">
      <alignment vertical="top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top" wrapText="1"/>
    </xf>
    <xf numFmtId="0" fontId="0" fillId="0" borderId="2" xfId="0" applyFill="1" applyBorder="1" applyAlignment="1">
      <alignment vertical="top" wrapText="1"/>
    </xf>
    <xf numFmtId="44" fontId="0" fillId="0" borderId="0" xfId="1" applyFont="1" applyAlignment="1">
      <alignment horizontal="center"/>
    </xf>
    <xf numFmtId="44" fontId="0" fillId="0" borderId="2" xfId="1" applyFont="1" applyFill="1" applyBorder="1" applyAlignment="1">
      <alignment vertical="top" wrapText="1"/>
    </xf>
    <xf numFmtId="0" fontId="0" fillId="0" borderId="0" xfId="0" applyBorder="1" applyAlignment="1">
      <alignment horizontal="center" vertical="top" wrapText="1"/>
    </xf>
    <xf numFmtId="0" fontId="0" fillId="0" borderId="2" xfId="0" applyBorder="1" applyAlignment="1">
      <alignment vertical="top" wrapText="1"/>
    </xf>
    <xf numFmtId="44" fontId="0" fillId="0" borderId="0" xfId="1" applyFont="1" applyBorder="1" applyAlignment="1">
      <alignment vertical="top" wrapText="1"/>
    </xf>
    <xf numFmtId="9" fontId="0" fillId="0" borderId="0" xfId="2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7" fillId="0" borderId="0" xfId="0" applyFont="1" applyAlignment="1">
      <alignment horizontal="center"/>
    </xf>
    <xf numFmtId="44" fontId="4" fillId="3" borderId="0" xfId="1" applyFont="1" applyFill="1"/>
  </cellXfs>
  <cellStyles count="3">
    <cellStyle name="Moneda" xfId="1" builtinId="4"/>
    <cellStyle name="Normal" xfId="0" builtinId="0"/>
    <cellStyle name="Porcentaje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2"/>
  <sheetViews>
    <sheetView tabSelected="1" workbookViewId="0">
      <pane ySplit="1" topLeftCell="A2" activePane="bottomLeft" state="frozen"/>
      <selection pane="bottomLeft" activeCell="D41" sqref="D41"/>
    </sheetView>
  </sheetViews>
  <sheetFormatPr baseColWidth="10" defaultColWidth="9.23046875" defaultRowHeight="14.6" x14ac:dyDescent="0.4"/>
  <cols>
    <col min="1" max="1" width="8" style="9" customWidth="1"/>
    <col min="2" max="2" width="14.69140625" style="21" customWidth="1"/>
    <col min="3" max="3" width="8" style="9" customWidth="1"/>
    <col min="4" max="4" width="61.3828125" bestFit="1" customWidth="1"/>
    <col min="5" max="5" width="16" style="7" customWidth="1"/>
    <col min="6" max="6" width="13.53515625" style="5" bestFit="1" customWidth="1"/>
    <col min="7" max="7" width="16" style="5" customWidth="1"/>
    <col min="8" max="8" width="16" style="7" customWidth="1"/>
  </cols>
  <sheetData>
    <row r="1" spans="1:8" x14ac:dyDescent="0.4">
      <c r="A1" s="1" t="s">
        <v>0</v>
      </c>
      <c r="B1" s="19" t="s">
        <v>38</v>
      </c>
      <c r="C1" s="1" t="s">
        <v>1</v>
      </c>
      <c r="D1" s="1" t="s">
        <v>2</v>
      </c>
      <c r="E1" s="6" t="s">
        <v>3</v>
      </c>
      <c r="F1" s="3" t="s">
        <v>9</v>
      </c>
      <c r="G1" s="3" t="s">
        <v>23</v>
      </c>
      <c r="H1" s="6" t="s">
        <v>4</v>
      </c>
    </row>
    <row r="2" spans="1:8" x14ac:dyDescent="0.4">
      <c r="A2" s="9">
        <v>1</v>
      </c>
      <c r="B2" s="21" t="s">
        <v>31</v>
      </c>
      <c r="C2" s="9">
        <v>2</v>
      </c>
      <c r="D2" t="s">
        <v>15</v>
      </c>
      <c r="E2" s="7">
        <v>8750</v>
      </c>
      <c r="F2" s="5">
        <v>0.6</v>
      </c>
      <c r="G2" s="12">
        <f>H2/C2</f>
        <v>9625</v>
      </c>
      <c r="H2" s="8">
        <f>(C2*E2)*F2+E2</f>
        <v>19250</v>
      </c>
    </row>
    <row r="3" spans="1:8" x14ac:dyDescent="0.4">
      <c r="A3" s="9">
        <v>2</v>
      </c>
      <c r="B3" s="21" t="s">
        <v>31</v>
      </c>
      <c r="C3" s="9">
        <v>1</v>
      </c>
      <c r="D3" t="s">
        <v>39</v>
      </c>
      <c r="E3" s="7">
        <v>12000</v>
      </c>
      <c r="F3" s="5">
        <v>0.6</v>
      </c>
      <c r="G3" s="12">
        <f t="shared" ref="G3:G36" si="0">H3/C3</f>
        <v>19200</v>
      </c>
      <c r="H3" s="8">
        <f t="shared" ref="H3:H6" si="1">(C3*E3)*F3+E3</f>
        <v>19200</v>
      </c>
    </row>
    <row r="4" spans="1:8" x14ac:dyDescent="0.4">
      <c r="A4" s="9">
        <v>3</v>
      </c>
      <c r="B4" s="21" t="s">
        <v>31</v>
      </c>
      <c r="C4" s="9">
        <v>1</v>
      </c>
      <c r="D4" t="s">
        <v>16</v>
      </c>
      <c r="E4" s="7">
        <v>18000</v>
      </c>
      <c r="F4" s="5">
        <v>0.6</v>
      </c>
      <c r="G4" s="12">
        <f t="shared" si="0"/>
        <v>28800</v>
      </c>
      <c r="H4" s="8">
        <f t="shared" si="1"/>
        <v>28800</v>
      </c>
    </row>
    <row r="5" spans="1:8" x14ac:dyDescent="0.4">
      <c r="A5" s="9">
        <v>4</v>
      </c>
      <c r="B5" s="21" t="s">
        <v>31</v>
      </c>
      <c r="C5" s="9">
        <v>1</v>
      </c>
      <c r="D5" t="s">
        <v>21</v>
      </c>
      <c r="E5" s="7">
        <v>9500</v>
      </c>
      <c r="F5" s="5">
        <v>0.6</v>
      </c>
      <c r="G5" s="12">
        <f t="shared" si="0"/>
        <v>15200</v>
      </c>
      <c r="H5" s="8">
        <f t="shared" si="1"/>
        <v>15200</v>
      </c>
    </row>
    <row r="6" spans="1:8" x14ac:dyDescent="0.4">
      <c r="A6" s="9">
        <v>5</v>
      </c>
      <c r="B6" s="21" t="s">
        <v>31</v>
      </c>
      <c r="C6" s="9">
        <v>1</v>
      </c>
      <c r="D6" t="s">
        <v>22</v>
      </c>
      <c r="E6" s="7">
        <v>10000</v>
      </c>
      <c r="F6" s="5">
        <v>0.6</v>
      </c>
      <c r="G6" s="12">
        <f t="shared" si="0"/>
        <v>16000</v>
      </c>
      <c r="H6" s="8">
        <f t="shared" si="1"/>
        <v>16000</v>
      </c>
    </row>
    <row r="7" spans="1:8" x14ac:dyDescent="0.4">
      <c r="A7" s="9">
        <v>6</v>
      </c>
      <c r="B7" s="21" t="s">
        <v>31</v>
      </c>
      <c r="C7" s="9">
        <v>1</v>
      </c>
      <c r="D7" t="s">
        <v>10</v>
      </c>
      <c r="E7" s="7">
        <v>290000</v>
      </c>
      <c r="F7" s="5">
        <v>0.3</v>
      </c>
      <c r="G7" s="12">
        <f t="shared" si="0"/>
        <v>377000</v>
      </c>
      <c r="H7" s="8">
        <f>(C7*E7)*F7+E7</f>
        <v>377000</v>
      </c>
    </row>
    <row r="8" spans="1:8" x14ac:dyDescent="0.4">
      <c r="A8" s="9">
        <v>7</v>
      </c>
      <c r="B8" s="21" t="s">
        <v>31</v>
      </c>
      <c r="C8" s="10">
        <v>1</v>
      </c>
      <c r="D8" s="2" t="s">
        <v>32</v>
      </c>
      <c r="E8" s="8">
        <v>8800</v>
      </c>
      <c r="F8" s="4">
        <v>0.9</v>
      </c>
      <c r="G8" s="12">
        <f t="shared" si="0"/>
        <v>16720</v>
      </c>
      <c r="H8" s="8">
        <f>(C8*E8)*F8+E8</f>
        <v>16720</v>
      </c>
    </row>
    <row r="9" spans="1:8" x14ac:dyDescent="0.4">
      <c r="A9" s="9">
        <v>8</v>
      </c>
      <c r="B9" s="21" t="s">
        <v>31</v>
      </c>
      <c r="C9" s="10">
        <v>2</v>
      </c>
      <c r="D9" s="2" t="s">
        <v>33</v>
      </c>
      <c r="E9" s="8">
        <v>4500</v>
      </c>
      <c r="F9" s="4">
        <v>0.9</v>
      </c>
      <c r="G9" s="12">
        <f t="shared" si="0"/>
        <v>6300</v>
      </c>
      <c r="H9" s="8">
        <f>(C9*E9)*F9+E9</f>
        <v>12600</v>
      </c>
    </row>
    <row r="10" spans="1:8" x14ac:dyDescent="0.4">
      <c r="A10" s="9">
        <v>9</v>
      </c>
      <c r="B10" s="21" t="s">
        <v>31</v>
      </c>
      <c r="C10" s="10">
        <v>2</v>
      </c>
      <c r="D10" s="2" t="s">
        <v>47</v>
      </c>
      <c r="E10" s="8">
        <v>25700</v>
      </c>
      <c r="F10" s="4">
        <v>0.9</v>
      </c>
      <c r="G10" s="12">
        <f t="shared" si="0"/>
        <v>35980</v>
      </c>
      <c r="H10" s="8">
        <f>(C10*E10)*F10+E10</f>
        <v>71960</v>
      </c>
    </row>
    <row r="11" spans="1:8" x14ac:dyDescent="0.4">
      <c r="A11" s="9">
        <v>10</v>
      </c>
      <c r="B11" s="21" t="s">
        <v>31</v>
      </c>
      <c r="C11" s="10">
        <v>1</v>
      </c>
      <c r="D11" s="2" t="s">
        <v>5</v>
      </c>
      <c r="E11" s="8">
        <v>4000</v>
      </c>
      <c r="F11" s="4">
        <v>0.9</v>
      </c>
      <c r="G11" s="12">
        <f t="shared" si="0"/>
        <v>7600</v>
      </c>
      <c r="H11" s="8">
        <f>(C11*E11)*F11+E11</f>
        <v>7600</v>
      </c>
    </row>
    <row r="12" spans="1:8" x14ac:dyDescent="0.4">
      <c r="A12" s="9">
        <v>11</v>
      </c>
      <c r="B12" s="21" t="s">
        <v>34</v>
      </c>
      <c r="C12" s="10">
        <v>2</v>
      </c>
      <c r="D12" s="2" t="s">
        <v>6</v>
      </c>
      <c r="E12" s="8">
        <v>7000</v>
      </c>
      <c r="F12" s="4">
        <v>0.9</v>
      </c>
      <c r="G12" s="12">
        <f t="shared" si="0"/>
        <v>9800</v>
      </c>
      <c r="H12" s="8">
        <f>(C12*E12)*F12+E12</f>
        <v>19600</v>
      </c>
    </row>
    <row r="13" spans="1:8" x14ac:dyDescent="0.4">
      <c r="A13" s="9">
        <v>12</v>
      </c>
      <c r="B13" s="21" t="s">
        <v>34</v>
      </c>
      <c r="C13" s="10">
        <v>2</v>
      </c>
      <c r="D13" s="2" t="s">
        <v>40</v>
      </c>
      <c r="E13" s="8">
        <v>18000</v>
      </c>
      <c r="F13" s="4">
        <v>0.75</v>
      </c>
      <c r="G13" s="12">
        <f t="shared" si="0"/>
        <v>22500</v>
      </c>
      <c r="H13" s="8">
        <f>(C13*E13)*F13+E13</f>
        <v>45000</v>
      </c>
    </row>
    <row r="14" spans="1:8" x14ac:dyDescent="0.4">
      <c r="A14" s="9">
        <v>13</v>
      </c>
      <c r="B14" s="21" t="s">
        <v>34</v>
      </c>
      <c r="C14" s="10">
        <v>2</v>
      </c>
      <c r="D14" s="2" t="s">
        <v>42</v>
      </c>
      <c r="E14" s="8">
        <v>6200</v>
      </c>
      <c r="F14" s="4">
        <v>0.9</v>
      </c>
      <c r="G14" s="12">
        <f t="shared" si="0"/>
        <v>8680</v>
      </c>
      <c r="H14" s="8">
        <f>(C14*E14)*F14+E14</f>
        <v>17360</v>
      </c>
    </row>
    <row r="15" spans="1:8" x14ac:dyDescent="0.4">
      <c r="A15" s="9">
        <v>14</v>
      </c>
      <c r="B15" s="21" t="s">
        <v>34</v>
      </c>
      <c r="C15" s="10">
        <v>2</v>
      </c>
      <c r="D15" s="2" t="s">
        <v>41</v>
      </c>
      <c r="E15" s="8">
        <v>20500</v>
      </c>
      <c r="F15" s="4">
        <v>0.9</v>
      </c>
      <c r="G15" s="12">
        <f t="shared" si="0"/>
        <v>28700</v>
      </c>
      <c r="H15" s="8">
        <f>(C15*E15)*F15+E15</f>
        <v>57400</v>
      </c>
    </row>
    <row r="16" spans="1:8" x14ac:dyDescent="0.4">
      <c r="A16" s="9">
        <v>15</v>
      </c>
      <c r="B16" s="21" t="s">
        <v>34</v>
      </c>
      <c r="C16" s="10">
        <v>2</v>
      </c>
      <c r="D16" s="2" t="s">
        <v>46</v>
      </c>
      <c r="E16" s="8">
        <v>5200</v>
      </c>
      <c r="F16" s="4">
        <v>0.9</v>
      </c>
      <c r="G16" s="12">
        <f t="shared" si="0"/>
        <v>7280</v>
      </c>
      <c r="H16" s="8">
        <f>(C16*E16)*F16+E16</f>
        <v>14560</v>
      </c>
    </row>
    <row r="17" spans="1:8" x14ac:dyDescent="0.4">
      <c r="A17" s="9">
        <v>16</v>
      </c>
      <c r="B17" s="21" t="s">
        <v>34</v>
      </c>
      <c r="C17" s="10">
        <v>2</v>
      </c>
      <c r="D17" s="2" t="s">
        <v>43</v>
      </c>
      <c r="E17" s="8">
        <v>38000</v>
      </c>
      <c r="F17" s="4">
        <v>0.9</v>
      </c>
      <c r="G17" s="12">
        <f t="shared" si="0"/>
        <v>53200</v>
      </c>
      <c r="H17" s="8">
        <f>(C17*E17)*F17+E17</f>
        <v>106400</v>
      </c>
    </row>
    <row r="18" spans="1:8" x14ac:dyDescent="0.4">
      <c r="A18" s="9">
        <v>17</v>
      </c>
      <c r="B18" s="21" t="s">
        <v>34</v>
      </c>
      <c r="C18" s="10">
        <v>2</v>
      </c>
      <c r="D18" s="2" t="s">
        <v>48</v>
      </c>
      <c r="E18" s="8">
        <v>20500</v>
      </c>
      <c r="F18" s="4">
        <v>0.9</v>
      </c>
      <c r="G18" s="12">
        <f t="shared" si="0"/>
        <v>28700</v>
      </c>
      <c r="H18" s="8">
        <f>(C18*E18)*F18+E18</f>
        <v>57400</v>
      </c>
    </row>
    <row r="19" spans="1:8" x14ac:dyDescent="0.4">
      <c r="A19" s="9">
        <v>18</v>
      </c>
      <c r="B19" s="21" t="s">
        <v>34</v>
      </c>
      <c r="C19" s="10">
        <v>200</v>
      </c>
      <c r="D19" s="2" t="s">
        <v>7</v>
      </c>
      <c r="E19" s="8">
        <v>30</v>
      </c>
      <c r="F19" s="4">
        <v>0.9</v>
      </c>
      <c r="G19" s="12">
        <f t="shared" si="0"/>
        <v>27.15</v>
      </c>
      <c r="H19" s="8">
        <f>(C19*E19)*F19+E19</f>
        <v>5430</v>
      </c>
    </row>
    <row r="20" spans="1:8" x14ac:dyDescent="0.4">
      <c r="A20" s="9">
        <v>19</v>
      </c>
      <c r="B20" s="21" t="s">
        <v>34</v>
      </c>
      <c r="C20" s="10">
        <v>1</v>
      </c>
      <c r="D20" s="2" t="s">
        <v>44</v>
      </c>
      <c r="E20" s="8">
        <v>800</v>
      </c>
      <c r="F20" s="4">
        <v>0.9</v>
      </c>
      <c r="G20" s="12">
        <f t="shared" si="0"/>
        <v>1520</v>
      </c>
      <c r="H20" s="8">
        <f>(C20*E20)*F20+E20</f>
        <v>1520</v>
      </c>
    </row>
    <row r="21" spans="1:8" x14ac:dyDescent="0.4">
      <c r="A21" s="9">
        <v>20</v>
      </c>
      <c r="B21" s="21" t="s">
        <v>35</v>
      </c>
      <c r="C21" s="10">
        <v>1</v>
      </c>
      <c r="D21" s="2" t="s">
        <v>45</v>
      </c>
      <c r="E21" s="8">
        <v>38000</v>
      </c>
      <c r="F21" s="4">
        <v>0.6</v>
      </c>
      <c r="G21" s="12">
        <f t="shared" si="0"/>
        <v>60800</v>
      </c>
      <c r="H21" s="8">
        <f>(C21*E21)*F21+E21</f>
        <v>60800</v>
      </c>
    </row>
    <row r="22" spans="1:8" x14ac:dyDescent="0.4">
      <c r="A22" s="9">
        <v>21</v>
      </c>
      <c r="B22" s="21" t="s">
        <v>36</v>
      </c>
      <c r="C22" s="9">
        <v>1</v>
      </c>
      <c r="D22" s="11" t="s">
        <v>11</v>
      </c>
      <c r="E22" s="7">
        <v>45000</v>
      </c>
      <c r="F22" s="5">
        <v>0.7</v>
      </c>
      <c r="G22" s="12">
        <f>H22/C22</f>
        <v>76500</v>
      </c>
      <c r="H22" s="13">
        <f>(C22*E22)*F22+E22</f>
        <v>76500</v>
      </c>
    </row>
    <row r="23" spans="1:8" x14ac:dyDescent="0.4">
      <c r="A23" s="9">
        <v>22</v>
      </c>
      <c r="B23" s="21" t="s">
        <v>36</v>
      </c>
      <c r="C23" s="10">
        <v>1</v>
      </c>
      <c r="D23" s="2" t="s">
        <v>24</v>
      </c>
      <c r="E23" s="8">
        <v>26000</v>
      </c>
      <c r="F23" s="4">
        <v>0.97</v>
      </c>
      <c r="G23" s="12">
        <f t="shared" si="0"/>
        <v>51220</v>
      </c>
      <c r="H23" s="8">
        <f>(C23*E23)*F23+E23</f>
        <v>51220</v>
      </c>
    </row>
    <row r="24" spans="1:8" x14ac:dyDescent="0.4">
      <c r="A24" s="9">
        <v>23</v>
      </c>
      <c r="B24" s="21" t="s">
        <v>36</v>
      </c>
      <c r="C24" s="9">
        <v>1</v>
      </c>
      <c r="D24" t="s">
        <v>18</v>
      </c>
      <c r="E24" s="7">
        <v>22000</v>
      </c>
      <c r="F24" s="5">
        <v>0.6</v>
      </c>
      <c r="G24" s="12">
        <f>H24/C24</f>
        <v>35200</v>
      </c>
      <c r="H24" s="8">
        <f>(C24*E24)*F24+E24</f>
        <v>35200</v>
      </c>
    </row>
    <row r="25" spans="1:8" x14ac:dyDescent="0.4">
      <c r="A25" s="9">
        <v>24</v>
      </c>
      <c r="B25" s="21" t="s">
        <v>36</v>
      </c>
      <c r="C25" s="9">
        <v>1</v>
      </c>
      <c r="D25" t="s">
        <v>19</v>
      </c>
      <c r="E25" s="7">
        <v>6500</v>
      </c>
      <c r="F25" s="5">
        <v>0.6</v>
      </c>
      <c r="G25" s="12">
        <f>H25/C25</f>
        <v>10400</v>
      </c>
      <c r="H25" s="8">
        <f>(C25*E25)*F25+E25</f>
        <v>10400</v>
      </c>
    </row>
    <row r="26" spans="1:8" x14ac:dyDescent="0.4">
      <c r="A26" s="9">
        <v>25</v>
      </c>
      <c r="B26" s="21" t="s">
        <v>37</v>
      </c>
      <c r="C26" s="10">
        <v>1</v>
      </c>
      <c r="D26" s="2" t="s">
        <v>25</v>
      </c>
      <c r="E26" s="8">
        <v>13810</v>
      </c>
      <c r="F26" s="4">
        <v>1.1000000000000001</v>
      </c>
      <c r="G26" s="12">
        <f t="shared" si="0"/>
        <v>29001</v>
      </c>
      <c r="H26" s="8">
        <f>(C26*E26)*F26+E26</f>
        <v>29001</v>
      </c>
    </row>
    <row r="27" spans="1:8" x14ac:dyDescent="0.4">
      <c r="A27" s="9">
        <v>26</v>
      </c>
      <c r="B27" s="21" t="s">
        <v>34</v>
      </c>
      <c r="C27" s="10">
        <v>2</v>
      </c>
      <c r="D27" s="2" t="s">
        <v>30</v>
      </c>
      <c r="E27" s="8">
        <v>25000</v>
      </c>
      <c r="F27" s="4">
        <v>0.5</v>
      </c>
      <c r="G27" s="12">
        <f t="shared" si="0"/>
        <v>25000</v>
      </c>
      <c r="H27" s="8">
        <f>(C27*E27)*F27+E27</f>
        <v>50000</v>
      </c>
    </row>
    <row r="28" spans="1:8" x14ac:dyDescent="0.4">
      <c r="A28" s="9">
        <v>27</v>
      </c>
      <c r="B28" s="21" t="s">
        <v>34</v>
      </c>
      <c r="C28" s="14">
        <v>1</v>
      </c>
      <c r="D28" s="15" t="s">
        <v>17</v>
      </c>
      <c r="E28" s="16">
        <v>46000</v>
      </c>
      <c r="F28" s="17">
        <v>0.6</v>
      </c>
      <c r="G28" s="12">
        <f t="shared" si="0"/>
        <v>73600</v>
      </c>
      <c r="H28" s="8">
        <f t="shared" ref="H28:H33" si="2">(C28*E28)*F28+E28</f>
        <v>73600</v>
      </c>
    </row>
    <row r="29" spans="1:8" x14ac:dyDescent="0.4">
      <c r="A29" s="9">
        <v>28</v>
      </c>
      <c r="B29" s="21" t="s">
        <v>34</v>
      </c>
      <c r="C29" s="14">
        <v>1</v>
      </c>
      <c r="D29" s="15" t="s">
        <v>20</v>
      </c>
      <c r="E29" s="16">
        <v>42000</v>
      </c>
      <c r="F29" s="17">
        <v>0.6</v>
      </c>
      <c r="G29" s="12">
        <f t="shared" si="0"/>
        <v>67200</v>
      </c>
      <c r="H29" s="8">
        <f t="shared" si="2"/>
        <v>67200</v>
      </c>
    </row>
    <row r="30" spans="1:8" x14ac:dyDescent="0.4">
      <c r="A30" s="9">
        <v>29</v>
      </c>
      <c r="B30" s="21" t="s">
        <v>31</v>
      </c>
      <c r="C30" s="14">
        <v>1</v>
      </c>
      <c r="D30" s="15" t="s">
        <v>18</v>
      </c>
      <c r="E30" s="16">
        <v>22000</v>
      </c>
      <c r="F30" s="17">
        <v>0.6</v>
      </c>
      <c r="G30" s="12">
        <f t="shared" si="0"/>
        <v>35200</v>
      </c>
      <c r="H30" s="8">
        <f t="shared" si="2"/>
        <v>35200</v>
      </c>
    </row>
    <row r="31" spans="1:8" x14ac:dyDescent="0.4">
      <c r="A31" s="9">
        <v>30</v>
      </c>
      <c r="B31" s="21" t="s">
        <v>31</v>
      </c>
      <c r="C31" s="14">
        <v>1</v>
      </c>
      <c r="D31" s="15" t="s">
        <v>26</v>
      </c>
      <c r="E31" s="16">
        <v>95000</v>
      </c>
      <c r="F31" s="17">
        <v>0.5</v>
      </c>
      <c r="G31" s="12">
        <f t="shared" si="0"/>
        <v>142500</v>
      </c>
      <c r="H31" s="8">
        <f t="shared" si="2"/>
        <v>142500</v>
      </c>
    </row>
    <row r="32" spans="1:8" x14ac:dyDescent="0.4">
      <c r="A32" s="9">
        <v>31</v>
      </c>
      <c r="B32" s="21" t="s">
        <v>50</v>
      </c>
      <c r="C32" s="14">
        <v>1</v>
      </c>
      <c r="D32" s="15" t="s">
        <v>27</v>
      </c>
      <c r="E32" s="16">
        <v>32000</v>
      </c>
      <c r="F32" s="17">
        <v>0.6</v>
      </c>
      <c r="G32" s="12">
        <f t="shared" si="0"/>
        <v>51200</v>
      </c>
      <c r="H32" s="8">
        <f t="shared" si="2"/>
        <v>51200</v>
      </c>
    </row>
    <row r="33" spans="1:8" x14ac:dyDescent="0.4">
      <c r="A33" s="9">
        <v>32</v>
      </c>
      <c r="B33" s="21" t="s">
        <v>50</v>
      </c>
      <c r="C33" s="14">
        <v>1</v>
      </c>
      <c r="D33" s="15" t="s">
        <v>28</v>
      </c>
      <c r="E33" s="16">
        <v>30000</v>
      </c>
      <c r="F33" s="17">
        <v>0.6</v>
      </c>
      <c r="G33" s="12">
        <f t="shared" si="0"/>
        <v>48000</v>
      </c>
      <c r="H33" s="8">
        <f t="shared" si="2"/>
        <v>48000</v>
      </c>
    </row>
    <row r="34" spans="1:8" x14ac:dyDescent="0.4">
      <c r="A34" s="9">
        <v>33</v>
      </c>
      <c r="B34" s="21" t="s">
        <v>31</v>
      </c>
      <c r="C34" s="9">
        <v>1</v>
      </c>
      <c r="D34" s="11" t="s">
        <v>12</v>
      </c>
      <c r="E34" s="7">
        <v>25000</v>
      </c>
      <c r="F34" s="5">
        <v>1</v>
      </c>
      <c r="G34" s="12">
        <f t="shared" si="0"/>
        <v>50000</v>
      </c>
      <c r="H34" s="13">
        <f>(C34*E34)*F34+E34</f>
        <v>50000</v>
      </c>
    </row>
    <row r="35" spans="1:8" x14ac:dyDescent="0.4">
      <c r="A35" s="9">
        <v>34</v>
      </c>
      <c r="B35" s="21" t="s">
        <v>31</v>
      </c>
      <c r="C35" s="9">
        <v>2</v>
      </c>
      <c r="D35" s="11" t="s">
        <v>29</v>
      </c>
      <c r="E35" s="7">
        <v>13000</v>
      </c>
      <c r="F35" s="5">
        <v>0.1</v>
      </c>
      <c r="G35" s="12">
        <f t="shared" si="0"/>
        <v>7800</v>
      </c>
      <c r="H35" s="7">
        <f>(C35*E35)*F35+E35</f>
        <v>15600</v>
      </c>
    </row>
    <row r="36" spans="1:8" x14ac:dyDescent="0.4">
      <c r="A36" s="9">
        <v>35</v>
      </c>
      <c r="B36" s="21" t="s">
        <v>31</v>
      </c>
      <c r="C36" s="9">
        <v>1</v>
      </c>
      <c r="D36" s="11" t="s">
        <v>49</v>
      </c>
      <c r="E36" s="7">
        <v>7000</v>
      </c>
      <c r="F36" s="5">
        <v>0.2</v>
      </c>
      <c r="G36" s="12">
        <f t="shared" si="0"/>
        <v>8400</v>
      </c>
      <c r="H36" s="7">
        <f>(C36*E36)*F36+E36</f>
        <v>8400</v>
      </c>
    </row>
    <row r="38" spans="1:8" x14ac:dyDescent="0.4">
      <c r="B38" s="20"/>
      <c r="C38" s="10"/>
      <c r="D38" s="18" t="s">
        <v>8</v>
      </c>
      <c r="E38" s="8">
        <f>SUM(E7:E36)</f>
        <v>937540</v>
      </c>
      <c r="F38" s="4"/>
      <c r="G38" s="4"/>
      <c r="H38" s="8">
        <f>SUM(H2:H37)</f>
        <v>1713821</v>
      </c>
    </row>
    <row r="40" spans="1:8" x14ac:dyDescent="0.4">
      <c r="E40" s="22" t="s">
        <v>9</v>
      </c>
      <c r="F40" s="12">
        <f>H38-E38</f>
        <v>776281</v>
      </c>
      <c r="G40" s="12"/>
    </row>
    <row r="41" spans="1:8" x14ac:dyDescent="0.4">
      <c r="E41" s="22" t="s">
        <v>13</v>
      </c>
      <c r="F41" s="12">
        <f>F40/2</f>
        <v>388140.5</v>
      </c>
      <c r="G41" s="12"/>
    </row>
    <row r="42" spans="1:8" x14ac:dyDescent="0.4">
      <c r="E42" s="22" t="s">
        <v>14</v>
      </c>
      <c r="F42" s="12">
        <f>F41*18</f>
        <v>6986529</v>
      </c>
      <c r="G42" s="1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CDA2000 (ES)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Alfredo Arevalo</cp:lastModifiedBy>
  <dcterms:created xsi:type="dcterms:W3CDTF">2026-01-08T08:38:57Z</dcterms:created>
  <dcterms:modified xsi:type="dcterms:W3CDTF">2026-01-08T18:15:59Z</dcterms:modified>
</cp:coreProperties>
</file>